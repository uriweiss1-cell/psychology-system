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f774712904c6ef/שולחן העבודה/קלוד/"/>
    </mc:Choice>
  </mc:AlternateContent>
  <xr:revisionPtr revIDLastSave="1" documentId="13_ncr:1_{3C00F53D-88CF-4834-ABF8-A1BE03C930B8}" xr6:coauthVersionLast="47" xr6:coauthVersionMax="47" xr10:uidLastSave="{A2924060-6A45-4676-B21F-11807FFA4D03}"/>
  <bookViews>
    <workbookView xWindow="0" yWindow="4250" windowWidth="19200" windowHeight="5830" xr2:uid="{00000000-000D-0000-FFFF-FFFF00000000}"/>
  </bookViews>
  <sheets>
    <sheet name="כלל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H45" i="1"/>
  <c r="M45" i="1" s="1"/>
  <c r="L43" i="1"/>
  <c r="H43" i="1"/>
  <c r="M43" i="1" s="1"/>
  <c r="L44" i="1"/>
  <c r="H44" i="1"/>
  <c r="M44" i="1" s="1"/>
  <c r="L10" i="1"/>
  <c r="K47" i="1"/>
  <c r="H10" i="1"/>
  <c r="M10" i="1" s="1"/>
  <c r="L16" i="1" l="1"/>
  <c r="H16" i="1"/>
  <c r="M16" i="1" l="1"/>
  <c r="L19" i="1"/>
  <c r="H19" i="1"/>
  <c r="M19" i="1" s="1"/>
  <c r="L5" i="1"/>
  <c r="L40" i="1"/>
  <c r="L3" i="1"/>
  <c r="L29" i="1"/>
  <c r="L18" i="1"/>
  <c r="H5" i="1"/>
  <c r="H40" i="1"/>
  <c r="H3" i="1"/>
  <c r="M3" i="1" s="1"/>
  <c r="H29" i="1"/>
  <c r="M29" i="1" s="1"/>
  <c r="H18" i="1"/>
  <c r="M18" i="1" s="1"/>
  <c r="L41" i="1"/>
  <c r="H41" i="1"/>
  <c r="M41" i="1" s="1"/>
  <c r="L11" i="1"/>
  <c r="H11" i="1"/>
  <c r="L37" i="1"/>
  <c r="H37" i="1"/>
  <c r="M37" i="1" s="1"/>
  <c r="L28" i="1"/>
  <c r="L20" i="1"/>
  <c r="L38" i="1"/>
  <c r="L22" i="1"/>
  <c r="L34" i="1"/>
  <c r="L39" i="1"/>
  <c r="H28" i="1"/>
  <c r="H20" i="1"/>
  <c r="H38" i="1"/>
  <c r="H22" i="1"/>
  <c r="H34" i="1"/>
  <c r="H39" i="1"/>
  <c r="L25" i="1"/>
  <c r="H25" i="1"/>
  <c r="M25" i="1" s="1"/>
  <c r="L30" i="1"/>
  <c r="L13" i="1"/>
  <c r="L36" i="1"/>
  <c r="H13" i="1"/>
  <c r="M13" i="1" s="1"/>
  <c r="M5" i="1" l="1"/>
  <c r="M28" i="1"/>
  <c r="M39" i="1"/>
  <c r="M40" i="1"/>
  <c r="M11" i="1"/>
  <c r="M34" i="1"/>
  <c r="M22" i="1"/>
  <c r="M38" i="1"/>
  <c r="M20" i="1"/>
  <c r="H36" i="1"/>
  <c r="M36" i="1" s="1"/>
  <c r="L26" i="1"/>
  <c r="H26" i="1"/>
  <c r="M26" i="1" s="1"/>
  <c r="L35" i="1" l="1"/>
  <c r="L21" i="1"/>
  <c r="L15" i="1"/>
  <c r="L7" i="1"/>
  <c r="L6" i="1"/>
  <c r="L4" i="1"/>
  <c r="H6" i="1"/>
  <c r="H15" i="1"/>
  <c r="H35" i="1"/>
  <c r="H21" i="1"/>
  <c r="H4" i="1"/>
  <c r="H30" i="1"/>
  <c r="M6" i="1" l="1"/>
  <c r="M35" i="1"/>
  <c r="M15" i="1"/>
  <c r="M4" i="1"/>
  <c r="M21" i="1"/>
  <c r="L17" i="1"/>
  <c r="H17" i="1"/>
  <c r="M17" i="1" l="1"/>
  <c r="H42" i="1" l="1"/>
  <c r="H9" i="1"/>
  <c r="H32" i="1"/>
  <c r="H12" i="1"/>
  <c r="H23" i="1"/>
  <c r="H24" i="1"/>
  <c r="H31" i="1"/>
  <c r="H14" i="1"/>
  <c r="H27" i="1"/>
  <c r="H33" i="1"/>
  <c r="H8" i="1"/>
  <c r="H7" i="1"/>
  <c r="M7" i="1" s="1"/>
  <c r="H2" i="1"/>
  <c r="L9" i="1" l="1"/>
  <c r="L32" i="1"/>
  <c r="L12" i="1"/>
  <c r="L23" i="1"/>
  <c r="L24" i="1"/>
  <c r="L42" i="1"/>
  <c r="L31" i="1"/>
  <c r="L14" i="1"/>
  <c r="L27" i="1"/>
  <c r="M27" i="1" s="1"/>
  <c r="L33" i="1"/>
  <c r="L8" i="1"/>
  <c r="L2" i="1"/>
  <c r="M2" i="1" s="1"/>
  <c r="M31" i="1" l="1"/>
  <c r="M30" i="1"/>
  <c r="M8" i="1"/>
  <c r="M23" i="1"/>
  <c r="M42" i="1"/>
  <c r="M33" i="1"/>
  <c r="M14" i="1"/>
  <c r="M9" i="1"/>
  <c r="M24" i="1"/>
  <c r="M12" i="1"/>
  <c r="M32" i="1"/>
</calcChain>
</file>

<file path=xl/sharedStrings.xml><?xml version="1.0" encoding="utf-8"?>
<sst xmlns="http://schemas.openxmlformats.org/spreadsheetml/2006/main" count="92" uniqueCount="90">
  <si>
    <t>פסיכולוג</t>
  </si>
  <si>
    <t>שעות משרה</t>
  </si>
  <si>
    <t>ישיבות</t>
  </si>
  <si>
    <t>הדרכות- מקבל</t>
  </si>
  <si>
    <t>הדרכות- נותן</t>
  </si>
  <si>
    <t>תפקיד</t>
  </si>
  <si>
    <t>סה"כ פנימי</t>
  </si>
  <si>
    <t>בי"ס</t>
  </si>
  <si>
    <t>ח"מ בי"ס</t>
  </si>
  <si>
    <t>גנים</t>
  </si>
  <si>
    <t>סה"כ מסגרות</t>
  </si>
  <si>
    <t>שם בי"ס</t>
  </si>
  <si>
    <t>אבי</t>
  </si>
  <si>
    <t>אורי</t>
  </si>
  <si>
    <t>ניצן</t>
  </si>
  <si>
    <t>סיון ג.</t>
  </si>
  <si>
    <t>תהילה</t>
  </si>
  <si>
    <t>מריה</t>
  </si>
  <si>
    <t>סיון ב.</t>
  </si>
  <si>
    <t>דנה</t>
  </si>
  <si>
    <t>בועז</t>
  </si>
  <si>
    <t>עבדאללה</t>
  </si>
  <si>
    <t>אורית ס.</t>
  </si>
  <si>
    <t>אורית נ.</t>
  </si>
  <si>
    <t>אוהל שלום</t>
  </si>
  <si>
    <t>נווה דליה</t>
  </si>
  <si>
    <t>אפק</t>
  </si>
  <si>
    <t>היובל</t>
  </si>
  <si>
    <t>גוונים</t>
  </si>
  <si>
    <t>מיכל</t>
  </si>
  <si>
    <t>טל</t>
  </si>
  <si>
    <t xml:space="preserve">מאי </t>
  </si>
  <si>
    <t>עמיחי</t>
  </si>
  <si>
    <t>דרור</t>
  </si>
  <si>
    <t>בגין</t>
  </si>
  <si>
    <t>רמב"ם</t>
  </si>
  <si>
    <t>שעות טיפול</t>
  </si>
  <si>
    <t>אשכול</t>
  </si>
  <si>
    <t>עדי</t>
  </si>
  <si>
    <t>פרס, כיתות קטנות היובל</t>
  </si>
  <si>
    <t>גילי</t>
  </si>
  <si>
    <t>נועם</t>
  </si>
  <si>
    <t>פדות</t>
  </si>
  <si>
    <t xml:space="preserve">ממד רעות, אולפנה </t>
  </si>
  <si>
    <t>שחקים</t>
  </si>
  <si>
    <t>שיא</t>
  </si>
  <si>
    <t xml:space="preserve">נופים, יסודי התורה </t>
  </si>
  <si>
    <t>יצחק נבון</t>
  </si>
  <si>
    <t>אוהל שרה</t>
  </si>
  <si>
    <t>שעות משרד</t>
  </si>
  <si>
    <t>רועי</t>
  </si>
  <si>
    <t>עומר</t>
  </si>
  <si>
    <t>מאיה</t>
  </si>
  <si>
    <t>רוני</t>
  </si>
  <si>
    <t>לירון</t>
  </si>
  <si>
    <t>נעמה</t>
  </si>
  <si>
    <t xml:space="preserve">רונה רמון </t>
  </si>
  <si>
    <t>בראשית</t>
  </si>
  <si>
    <t>צומח ASD</t>
  </si>
  <si>
    <t>בית יעקב</t>
  </si>
  <si>
    <t>חיים גורי</t>
  </si>
  <si>
    <t>בארי</t>
  </si>
  <si>
    <t>צוף</t>
  </si>
  <si>
    <t>בעקבי הצאן</t>
  </si>
  <si>
    <t>אריאל</t>
  </si>
  <si>
    <t>שניר</t>
  </si>
  <si>
    <t>יהודית</t>
  </si>
  <si>
    <t>סיגל</t>
  </si>
  <si>
    <t>אופק</t>
  </si>
  <si>
    <t>שחר</t>
  </si>
  <si>
    <t>אוראל כ.</t>
  </si>
  <si>
    <t>צורים</t>
  </si>
  <si>
    <t>נופרים+ אסף</t>
  </si>
  <si>
    <t>כיתות קטנות גוונים</t>
  </si>
  <si>
    <t>עתיד+תגלית חנ"מ</t>
  </si>
  <si>
    <t>גבעולים</t>
  </si>
  <si>
    <t>עוז</t>
  </si>
  <si>
    <t>טטיאנה</t>
  </si>
  <si>
    <t>תגלית+חטיבה חדשה</t>
  </si>
  <si>
    <t>יובל</t>
  </si>
  <si>
    <t>אור א.</t>
  </si>
  <si>
    <t>אסף</t>
  </si>
  <si>
    <t>דרכי אלישע</t>
  </si>
  <si>
    <t>נאות אילנה</t>
  </si>
  <si>
    <t>אור ה.</t>
  </si>
  <si>
    <t>אודי</t>
  </si>
  <si>
    <t>עמית</t>
  </si>
  <si>
    <t>אודל</t>
  </si>
  <si>
    <t>בגין ח"מ</t>
  </si>
  <si>
    <t>ספיר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</si>
</sst>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rgb="FFFF000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5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"/>
  <sheetViews>
    <sheetView rightToLeft="1" tabSelected="1" zoomScaleNormal="100" workbookViewId="0">
      <pane ySplit="1" topLeftCell="A14" activePane="bottomLeft" state="frozen"/>
      <selection pane="bottomLeft" activeCell="B11" sqref="B11"/>
    </sheetView>
  </sheetViews>
  <sheetFormatPr defaultColWidth="9" defaultRowHeight="14" x14ac:dyDescent="0.3"/>
  <cols>
    <col min="1" max="1" width="7.75" bestFit="1" customWidth="1"/>
    <col min="2" max="2" width="10.33203125" bestFit="1" customWidth="1"/>
    <col min="3" max="3" width="6.25" bestFit="1" customWidth="1"/>
    <col min="4" max="4" width="12" bestFit="1" customWidth="1"/>
    <col min="5" max="5" width="10.75" bestFit="1" customWidth="1"/>
    <col min="6" max="6" width="9.75" bestFit="1" customWidth="1"/>
    <col min="7" max="7" width="5.83203125" bestFit="1" customWidth="1"/>
    <col min="8" max="8" width="9.33203125" bestFit="1" customWidth="1"/>
    <col min="9" max="9" width="4.5" bestFit="1" customWidth="1"/>
    <col min="10" max="10" width="8.08203125" bestFit="1" customWidth="1"/>
    <col min="11" max="11" width="4.08203125" bestFit="1" customWidth="1"/>
    <col min="12" max="12" width="11.25" bestFit="1" customWidth="1"/>
    <col min="13" max="13" width="10.25" bestFit="1" customWidth="1"/>
    <col min="14" max="14" width="30.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49</v>
      </c>
      <c r="N1" s="1" t="s">
        <v>11</v>
      </c>
    </row>
    <row r="2" spans="1:14" x14ac:dyDescent="0.3">
      <c r="A2" s="2" t="s">
        <v>12</v>
      </c>
      <c r="B2" s="2">
        <v>40</v>
      </c>
      <c r="C2" s="2">
        <v>7.5</v>
      </c>
      <c r="D2" s="2">
        <v>1</v>
      </c>
      <c r="E2" s="2"/>
      <c r="F2" s="2"/>
      <c r="G2" s="2">
        <v>20</v>
      </c>
      <c r="H2" s="2">
        <f t="shared" ref="H2:H42" si="0">SUM(C2:G2)</f>
        <v>28.5</v>
      </c>
      <c r="I2" s="2"/>
      <c r="J2" s="2"/>
      <c r="K2" s="2"/>
      <c r="L2" s="2">
        <f t="shared" ref="L2:L42" si="1">SUM(I2:K2)</f>
        <v>0</v>
      </c>
      <c r="M2" s="2">
        <f t="shared" ref="M2:M42" si="2">B2-(SUM(H2+L2))</f>
        <v>11.5</v>
      </c>
      <c r="N2" s="2"/>
    </row>
    <row r="3" spans="1:14" x14ac:dyDescent="0.3">
      <c r="A3" s="2" t="s">
        <v>68</v>
      </c>
      <c r="B3" s="2">
        <v>40</v>
      </c>
      <c r="C3" s="2">
        <v>4</v>
      </c>
      <c r="D3" s="2">
        <v>3.5</v>
      </c>
      <c r="E3" s="2"/>
      <c r="F3" s="2">
        <v>1.5</v>
      </c>
      <c r="G3" s="2"/>
      <c r="H3" s="2">
        <f t="shared" si="0"/>
        <v>9</v>
      </c>
      <c r="I3" s="2">
        <v>4</v>
      </c>
      <c r="J3" s="2">
        <v>7</v>
      </c>
      <c r="K3" s="2">
        <v>8</v>
      </c>
      <c r="L3" s="2">
        <f t="shared" si="1"/>
        <v>19</v>
      </c>
      <c r="M3" s="2">
        <f t="shared" si="2"/>
        <v>12</v>
      </c>
      <c r="N3" s="2" t="s">
        <v>76</v>
      </c>
    </row>
    <row r="4" spans="1:14" x14ac:dyDescent="0.3">
      <c r="A4" s="2" t="s">
        <v>84</v>
      </c>
      <c r="B4" s="2">
        <v>33</v>
      </c>
      <c r="C4" s="2">
        <v>4</v>
      </c>
      <c r="D4" s="2">
        <v>2.5</v>
      </c>
      <c r="E4" s="2"/>
      <c r="F4" s="2">
        <v>3</v>
      </c>
      <c r="G4" s="2">
        <v>2</v>
      </c>
      <c r="H4" s="2">
        <f t="shared" si="0"/>
        <v>11.5</v>
      </c>
      <c r="I4" s="2">
        <v>7</v>
      </c>
      <c r="J4" s="2">
        <v>10</v>
      </c>
      <c r="K4" s="2"/>
      <c r="L4" s="2">
        <f t="shared" si="1"/>
        <v>17</v>
      </c>
      <c r="M4" s="2">
        <f t="shared" si="2"/>
        <v>4.5</v>
      </c>
      <c r="N4" s="2" t="s">
        <v>39</v>
      </c>
    </row>
    <row r="5" spans="1:14" x14ac:dyDescent="0.3">
      <c r="A5" s="2" t="s">
        <v>80</v>
      </c>
      <c r="B5" s="2">
        <v>12</v>
      </c>
      <c r="C5" s="2">
        <v>2</v>
      </c>
      <c r="D5" s="2">
        <v>2</v>
      </c>
      <c r="E5" s="2"/>
      <c r="F5" s="2"/>
      <c r="G5" s="2"/>
      <c r="H5" s="2">
        <f t="shared" si="0"/>
        <v>4</v>
      </c>
      <c r="I5" s="2"/>
      <c r="J5" s="2"/>
      <c r="K5" s="2">
        <v>6</v>
      </c>
      <c r="L5" s="2">
        <f t="shared" si="1"/>
        <v>6</v>
      </c>
      <c r="M5" s="2">
        <f t="shared" si="2"/>
        <v>2</v>
      </c>
      <c r="N5" s="2"/>
    </row>
    <row r="6" spans="1:14" x14ac:dyDescent="0.3">
      <c r="A6" s="2" t="s">
        <v>70</v>
      </c>
      <c r="B6" s="2">
        <v>21</v>
      </c>
      <c r="C6" s="2">
        <v>4</v>
      </c>
      <c r="D6" s="2">
        <v>2.5</v>
      </c>
      <c r="E6" s="2"/>
      <c r="F6" s="2">
        <v>1.5</v>
      </c>
      <c r="G6" s="2"/>
      <c r="H6" s="2">
        <f t="shared" si="0"/>
        <v>8</v>
      </c>
      <c r="I6" s="2">
        <v>4</v>
      </c>
      <c r="J6" s="2">
        <v>2</v>
      </c>
      <c r="K6" s="2">
        <v>4</v>
      </c>
      <c r="L6" s="2">
        <f t="shared" si="1"/>
        <v>10</v>
      </c>
      <c r="M6" s="2">
        <f t="shared" si="2"/>
        <v>3</v>
      </c>
      <c r="N6" s="2" t="s">
        <v>48</v>
      </c>
    </row>
    <row r="7" spans="1:14" ht="15" customHeight="1" x14ac:dyDescent="0.3">
      <c r="A7" s="2" t="s">
        <v>13</v>
      </c>
      <c r="B7" s="2">
        <v>33</v>
      </c>
      <c r="C7" s="2">
        <v>5.5</v>
      </c>
      <c r="D7" s="2">
        <v>1</v>
      </c>
      <c r="E7" s="2">
        <v>5.5</v>
      </c>
      <c r="F7" s="2"/>
      <c r="G7" s="2">
        <v>6</v>
      </c>
      <c r="H7" s="2">
        <f t="shared" si="0"/>
        <v>18</v>
      </c>
      <c r="I7" s="2"/>
      <c r="J7" s="2"/>
      <c r="K7" s="2">
        <v>4</v>
      </c>
      <c r="L7" s="2">
        <f t="shared" si="1"/>
        <v>4</v>
      </c>
      <c r="M7" s="2">
        <f t="shared" si="2"/>
        <v>11</v>
      </c>
      <c r="N7" s="3" t="s">
        <v>63</v>
      </c>
    </row>
    <row r="8" spans="1:14" x14ac:dyDescent="0.3">
      <c r="A8" s="2" t="s">
        <v>23</v>
      </c>
      <c r="B8" s="2">
        <v>21</v>
      </c>
      <c r="C8" s="2">
        <v>5.5</v>
      </c>
      <c r="D8" s="4">
        <v>1</v>
      </c>
      <c r="E8" s="2">
        <v>4</v>
      </c>
      <c r="F8" s="2"/>
      <c r="G8" s="2">
        <v>3</v>
      </c>
      <c r="H8" s="2">
        <f t="shared" si="0"/>
        <v>13.5</v>
      </c>
      <c r="I8" s="2">
        <v>2</v>
      </c>
      <c r="J8" s="2"/>
      <c r="K8" s="2"/>
      <c r="L8" s="2">
        <f t="shared" si="1"/>
        <v>2</v>
      </c>
      <c r="M8" s="2">
        <f t="shared" si="2"/>
        <v>5.5</v>
      </c>
      <c r="N8" s="2" t="s">
        <v>59</v>
      </c>
    </row>
    <row r="9" spans="1:14" x14ac:dyDescent="0.3">
      <c r="A9" s="2" t="s">
        <v>22</v>
      </c>
      <c r="B9" s="2">
        <v>24</v>
      </c>
      <c r="C9" s="2">
        <v>4</v>
      </c>
      <c r="D9" s="2">
        <v>2</v>
      </c>
      <c r="E9" s="2"/>
      <c r="F9" s="2">
        <v>1.5</v>
      </c>
      <c r="G9" s="2"/>
      <c r="H9" s="2">
        <f t="shared" si="0"/>
        <v>7.5</v>
      </c>
      <c r="I9" s="2">
        <v>4</v>
      </c>
      <c r="J9" s="2">
        <v>4</v>
      </c>
      <c r="K9" s="2">
        <v>4</v>
      </c>
      <c r="L9" s="2">
        <f t="shared" si="1"/>
        <v>12</v>
      </c>
      <c r="M9" s="2">
        <f t="shared" si="2"/>
        <v>4.5</v>
      </c>
      <c r="N9" s="2" t="s">
        <v>30</v>
      </c>
    </row>
    <row r="10" spans="1:14" x14ac:dyDescent="0.3">
      <c r="A10" s="2" t="s">
        <v>81</v>
      </c>
      <c r="B10" s="2">
        <v>20</v>
      </c>
      <c r="C10" s="2">
        <v>4</v>
      </c>
      <c r="D10" s="2">
        <v>3.5</v>
      </c>
      <c r="E10" s="2">
        <v>2</v>
      </c>
      <c r="F10" s="2"/>
      <c r="G10" s="2"/>
      <c r="H10" s="2">
        <f t="shared" si="0"/>
        <v>9.5</v>
      </c>
      <c r="I10" s="2">
        <v>7</v>
      </c>
      <c r="J10" s="2">
        <v>1</v>
      </c>
      <c r="K10" s="2"/>
      <c r="L10" s="2">
        <f t="shared" si="1"/>
        <v>8</v>
      </c>
      <c r="M10" s="2">
        <f t="shared" si="2"/>
        <v>2.5</v>
      </c>
      <c r="N10" s="2" t="s">
        <v>61</v>
      </c>
    </row>
    <row r="11" spans="1:14" x14ac:dyDescent="0.3">
      <c r="A11" s="2" t="s">
        <v>64</v>
      </c>
      <c r="B11" s="2">
        <v>32</v>
      </c>
      <c r="C11" s="2">
        <v>4</v>
      </c>
      <c r="D11" s="2">
        <v>2.5</v>
      </c>
      <c r="E11" s="2"/>
      <c r="F11" s="2">
        <v>3</v>
      </c>
      <c r="G11" s="2"/>
      <c r="H11" s="2">
        <f t="shared" si="0"/>
        <v>9.5</v>
      </c>
      <c r="I11" s="2">
        <v>4</v>
      </c>
      <c r="J11" s="2">
        <v>4</v>
      </c>
      <c r="K11" s="2">
        <v>8</v>
      </c>
      <c r="L11" s="2">
        <f t="shared" si="1"/>
        <v>16</v>
      </c>
      <c r="M11" s="2">
        <f t="shared" si="2"/>
        <v>6.5</v>
      </c>
      <c r="N11" s="2" t="s">
        <v>25</v>
      </c>
    </row>
    <row r="12" spans="1:14" x14ac:dyDescent="0.3">
      <c r="A12" s="2" t="s">
        <v>20</v>
      </c>
      <c r="B12" s="2">
        <v>24</v>
      </c>
      <c r="C12" s="2">
        <v>5.5</v>
      </c>
      <c r="D12" s="4">
        <v>1</v>
      </c>
      <c r="E12" s="2">
        <v>1</v>
      </c>
      <c r="F12" s="2"/>
      <c r="G12" s="2">
        <v>5</v>
      </c>
      <c r="H12" s="2">
        <f t="shared" si="0"/>
        <v>12.5</v>
      </c>
      <c r="I12" s="2"/>
      <c r="J12" s="2">
        <v>6</v>
      </c>
      <c r="K12" s="2"/>
      <c r="L12" s="2">
        <f t="shared" si="1"/>
        <v>6</v>
      </c>
      <c r="M12" s="2">
        <f t="shared" si="2"/>
        <v>5.5</v>
      </c>
      <c r="N12" s="2" t="s">
        <v>73</v>
      </c>
    </row>
    <row r="13" spans="1:14" x14ac:dyDescent="0.3">
      <c r="A13" s="5" t="s">
        <v>40</v>
      </c>
      <c r="B13" s="5">
        <v>32</v>
      </c>
      <c r="C13" s="5">
        <v>4</v>
      </c>
      <c r="D13" s="5">
        <v>2.5</v>
      </c>
      <c r="E13" s="5"/>
      <c r="F13" s="5">
        <v>4.5</v>
      </c>
      <c r="G13" s="5"/>
      <c r="H13" s="5">
        <f t="shared" si="0"/>
        <v>11</v>
      </c>
      <c r="I13" s="5">
        <v>5</v>
      </c>
      <c r="J13" s="5">
        <v>2</v>
      </c>
      <c r="K13" s="5">
        <v>8</v>
      </c>
      <c r="L13" s="5">
        <f t="shared" si="1"/>
        <v>15</v>
      </c>
      <c r="M13" s="5">
        <f t="shared" si="2"/>
        <v>6</v>
      </c>
      <c r="N13" s="2" t="s">
        <v>47</v>
      </c>
    </row>
    <row r="14" spans="1:14" x14ac:dyDescent="0.3">
      <c r="A14" s="2" t="s">
        <v>19</v>
      </c>
      <c r="B14" s="2">
        <v>14</v>
      </c>
      <c r="C14" s="2">
        <v>2</v>
      </c>
      <c r="D14" s="2"/>
      <c r="E14" s="2"/>
      <c r="F14" s="2"/>
      <c r="G14" s="2"/>
      <c r="H14" s="2">
        <f t="shared" si="0"/>
        <v>2</v>
      </c>
      <c r="I14" s="2"/>
      <c r="J14" s="2">
        <v>4</v>
      </c>
      <c r="K14" s="2">
        <v>3</v>
      </c>
      <c r="L14" s="2">
        <f t="shared" si="1"/>
        <v>7</v>
      </c>
      <c r="M14" s="2">
        <f t="shared" si="2"/>
        <v>5</v>
      </c>
      <c r="N14" s="2" t="s">
        <v>83</v>
      </c>
    </row>
    <row r="15" spans="1:14" x14ac:dyDescent="0.3">
      <c r="A15" s="2" t="s">
        <v>33</v>
      </c>
      <c r="B15" s="2">
        <v>25</v>
      </c>
      <c r="C15" s="2">
        <v>4</v>
      </c>
      <c r="D15" s="2">
        <v>2.5</v>
      </c>
      <c r="E15" s="2"/>
      <c r="F15" s="2">
        <v>4.5</v>
      </c>
      <c r="G15" s="2"/>
      <c r="H15" s="2">
        <f t="shared" si="0"/>
        <v>11</v>
      </c>
      <c r="I15" s="2">
        <v>7</v>
      </c>
      <c r="J15" s="2">
        <v>3</v>
      </c>
      <c r="K15" s="2"/>
      <c r="L15" s="2">
        <f t="shared" si="1"/>
        <v>10</v>
      </c>
      <c r="M15" s="2">
        <f t="shared" si="2"/>
        <v>4</v>
      </c>
      <c r="N15" s="5" t="s">
        <v>56</v>
      </c>
    </row>
    <row r="16" spans="1:14" x14ac:dyDescent="0.3">
      <c r="A16" s="2" t="s">
        <v>77</v>
      </c>
      <c r="B16" s="2">
        <v>40</v>
      </c>
      <c r="C16" s="2">
        <v>4</v>
      </c>
      <c r="D16" s="2">
        <v>3.5</v>
      </c>
      <c r="E16" s="2"/>
      <c r="F16" s="2">
        <v>4.5</v>
      </c>
      <c r="G16" s="2"/>
      <c r="H16" s="2">
        <f t="shared" si="0"/>
        <v>12</v>
      </c>
      <c r="I16" s="2">
        <v>10</v>
      </c>
      <c r="J16" s="2"/>
      <c r="K16" s="2">
        <v>11</v>
      </c>
      <c r="L16" s="2">
        <f t="shared" si="1"/>
        <v>21</v>
      </c>
      <c r="M16" s="2">
        <f t="shared" si="2"/>
        <v>7</v>
      </c>
      <c r="N16" s="2" t="s">
        <v>78</v>
      </c>
    </row>
    <row r="17" spans="1:14" x14ac:dyDescent="0.3">
      <c r="A17" s="2" t="s">
        <v>30</v>
      </c>
      <c r="B17" s="2">
        <v>33</v>
      </c>
      <c r="C17" s="2">
        <v>4</v>
      </c>
      <c r="D17" s="4">
        <v>2.5</v>
      </c>
      <c r="E17" s="2"/>
      <c r="F17" s="2">
        <v>1.5</v>
      </c>
      <c r="G17" s="2">
        <v>3</v>
      </c>
      <c r="H17" s="2">
        <f t="shared" si="0"/>
        <v>11</v>
      </c>
      <c r="I17" s="2">
        <v>8</v>
      </c>
      <c r="J17" s="4">
        <v>10</v>
      </c>
      <c r="K17" s="4"/>
      <c r="L17" s="2">
        <f t="shared" si="1"/>
        <v>18</v>
      </c>
      <c r="M17" s="2">
        <f t="shared" si="2"/>
        <v>4</v>
      </c>
      <c r="N17" s="5" t="s">
        <v>46</v>
      </c>
    </row>
    <row r="18" spans="1:14" x14ac:dyDescent="0.3">
      <c r="A18" s="2" t="s">
        <v>66</v>
      </c>
      <c r="B18" s="2">
        <v>20</v>
      </c>
      <c r="C18" s="2">
        <v>4</v>
      </c>
      <c r="D18" s="2">
        <v>2</v>
      </c>
      <c r="E18" s="2">
        <v>3.5</v>
      </c>
      <c r="F18" s="2">
        <v>1.5</v>
      </c>
      <c r="G18" s="2"/>
      <c r="H18" s="2">
        <f t="shared" si="0"/>
        <v>11</v>
      </c>
      <c r="I18" s="2"/>
      <c r="J18" s="2">
        <v>4</v>
      </c>
      <c r="K18" s="2">
        <v>2</v>
      </c>
      <c r="L18" s="2">
        <f t="shared" si="1"/>
        <v>6</v>
      </c>
      <c r="M18" s="2">
        <f t="shared" si="2"/>
        <v>3</v>
      </c>
      <c r="N18" s="2" t="s">
        <v>75</v>
      </c>
    </row>
    <row r="19" spans="1:14" x14ac:dyDescent="0.3">
      <c r="A19" s="2" t="s">
        <v>79</v>
      </c>
      <c r="B19" s="2">
        <v>20</v>
      </c>
      <c r="C19" s="2">
        <v>4</v>
      </c>
      <c r="D19" s="2">
        <v>5</v>
      </c>
      <c r="E19" s="4">
        <v>4</v>
      </c>
      <c r="F19" s="2"/>
      <c r="G19" s="2"/>
      <c r="H19" s="2">
        <f t="shared" si="0"/>
        <v>13</v>
      </c>
      <c r="I19" s="2">
        <v>4</v>
      </c>
      <c r="J19" s="2"/>
      <c r="K19" s="2"/>
      <c r="L19" s="2">
        <f t="shared" si="1"/>
        <v>4</v>
      </c>
      <c r="M19" s="2">
        <f t="shared" si="2"/>
        <v>3</v>
      </c>
      <c r="N19" s="2" t="s">
        <v>44</v>
      </c>
    </row>
    <row r="20" spans="1:14" x14ac:dyDescent="0.3">
      <c r="A20" s="2" t="s">
        <v>54</v>
      </c>
      <c r="B20" s="2">
        <v>12</v>
      </c>
      <c r="C20" s="2">
        <v>2</v>
      </c>
      <c r="D20" s="2">
        <v>1</v>
      </c>
      <c r="E20" s="2"/>
      <c r="F20" s="2"/>
      <c r="G20" s="2"/>
      <c r="H20" s="2">
        <f t="shared" si="0"/>
        <v>3</v>
      </c>
      <c r="I20" s="2">
        <v>7</v>
      </c>
      <c r="J20" s="2"/>
      <c r="K20" s="2"/>
      <c r="L20" s="2">
        <f t="shared" si="1"/>
        <v>7</v>
      </c>
      <c r="M20" s="2">
        <f t="shared" si="2"/>
        <v>2</v>
      </c>
      <c r="N20" s="2" t="s">
        <v>27</v>
      </c>
    </row>
    <row r="21" spans="1:14" x14ac:dyDescent="0.3">
      <c r="A21" s="2" t="s">
        <v>31</v>
      </c>
      <c r="B21" s="2">
        <v>40</v>
      </c>
      <c r="C21" s="2">
        <v>4</v>
      </c>
      <c r="D21" s="2">
        <v>2.5</v>
      </c>
      <c r="E21" s="2"/>
      <c r="F21" s="2">
        <v>1.5</v>
      </c>
      <c r="G21" s="4"/>
      <c r="H21" s="2">
        <f t="shared" si="0"/>
        <v>8</v>
      </c>
      <c r="I21" s="2">
        <v>14</v>
      </c>
      <c r="J21" s="2">
        <v>9</v>
      </c>
      <c r="K21" s="4">
        <v>2</v>
      </c>
      <c r="L21" s="2">
        <f t="shared" si="1"/>
        <v>25</v>
      </c>
      <c r="M21" s="2">
        <f t="shared" si="2"/>
        <v>7</v>
      </c>
      <c r="N21" s="2" t="s">
        <v>43</v>
      </c>
    </row>
    <row r="22" spans="1:14" s="6" customFormat="1" x14ac:dyDescent="0.3">
      <c r="A22" s="2" t="s">
        <v>52</v>
      </c>
      <c r="B22" s="2">
        <v>40</v>
      </c>
      <c r="C22" s="2">
        <v>4</v>
      </c>
      <c r="D22" s="2">
        <v>2.5</v>
      </c>
      <c r="E22" s="2"/>
      <c r="F22" s="2">
        <v>4.5</v>
      </c>
      <c r="G22" s="2"/>
      <c r="H22" s="2">
        <f t="shared" si="0"/>
        <v>11</v>
      </c>
      <c r="I22" s="2">
        <v>7</v>
      </c>
      <c r="J22" s="2">
        <v>6</v>
      </c>
      <c r="K22" s="2">
        <v>8</v>
      </c>
      <c r="L22" s="2">
        <f t="shared" si="1"/>
        <v>21</v>
      </c>
      <c r="M22" s="2">
        <f t="shared" si="2"/>
        <v>8</v>
      </c>
      <c r="N22" s="2" t="s">
        <v>60</v>
      </c>
    </row>
    <row r="23" spans="1:14" x14ac:dyDescent="0.3">
      <c r="A23" s="2" t="s">
        <v>29</v>
      </c>
      <c r="B23" s="2">
        <v>21</v>
      </c>
      <c r="C23" s="2">
        <v>4</v>
      </c>
      <c r="D23" s="2">
        <v>2.5</v>
      </c>
      <c r="E23" s="2"/>
      <c r="F23" s="2">
        <v>1.5</v>
      </c>
      <c r="G23" s="2"/>
      <c r="H23" s="2">
        <f t="shared" si="0"/>
        <v>8</v>
      </c>
      <c r="I23" s="2">
        <v>8</v>
      </c>
      <c r="J23" s="2">
        <v>1</v>
      </c>
      <c r="K23" s="2"/>
      <c r="L23" s="2">
        <f t="shared" si="1"/>
        <v>9</v>
      </c>
      <c r="M23" s="2">
        <f t="shared" si="2"/>
        <v>4</v>
      </c>
      <c r="N23" s="2" t="s">
        <v>45</v>
      </c>
    </row>
    <row r="24" spans="1:14" ht="15" customHeight="1" x14ac:dyDescent="0.3">
      <c r="A24" s="2" t="s">
        <v>17</v>
      </c>
      <c r="B24" s="2">
        <v>36</v>
      </c>
      <c r="C24" s="2">
        <v>4</v>
      </c>
      <c r="D24" s="2">
        <v>2.5</v>
      </c>
      <c r="E24" s="2"/>
      <c r="F24" s="2">
        <v>1.5</v>
      </c>
      <c r="G24" s="2">
        <v>2</v>
      </c>
      <c r="H24" s="2">
        <f t="shared" si="0"/>
        <v>10</v>
      </c>
      <c r="I24" s="2">
        <v>7</v>
      </c>
      <c r="J24" s="2">
        <v>13</v>
      </c>
      <c r="K24" s="2"/>
      <c r="L24" s="2">
        <f t="shared" si="1"/>
        <v>20</v>
      </c>
      <c r="M24" s="2">
        <f t="shared" si="2"/>
        <v>6</v>
      </c>
      <c r="N24" s="2" t="s">
        <v>74</v>
      </c>
    </row>
    <row r="25" spans="1:14" ht="12.75" customHeight="1" x14ac:dyDescent="0.3">
      <c r="A25" s="2" t="s">
        <v>89</v>
      </c>
      <c r="B25" s="2">
        <v>12</v>
      </c>
      <c r="C25" s="2">
        <v>2</v>
      </c>
      <c r="D25" s="2">
        <v>1</v>
      </c>
      <c r="E25" s="2"/>
      <c r="F25" s="2"/>
      <c r="G25" s="2"/>
      <c r="H25" s="2">
        <f t="shared" si="0"/>
        <v>3</v>
      </c>
      <c r="I25" s="2"/>
      <c r="J25" s="2">
        <v>6</v>
      </c>
      <c r="K25" s="2"/>
      <c r="L25" s="2">
        <f t="shared" si="1"/>
        <v>6</v>
      </c>
      <c r="M25" s="2">
        <f t="shared" si="2"/>
        <v>3</v>
      </c>
      <c r="N25" s="4" t="s">
        <v>58</v>
      </c>
    </row>
    <row r="26" spans="1:14" s="7" customFormat="1" x14ac:dyDescent="0.3">
      <c r="A26" s="2" t="s">
        <v>41</v>
      </c>
      <c r="B26" s="2">
        <v>12</v>
      </c>
      <c r="C26" s="2">
        <v>2</v>
      </c>
      <c r="D26" s="2">
        <v>1</v>
      </c>
      <c r="E26" s="2"/>
      <c r="F26" s="2"/>
      <c r="G26" s="2"/>
      <c r="H26" s="2">
        <f t="shared" si="0"/>
        <v>3</v>
      </c>
      <c r="I26" s="2">
        <v>4</v>
      </c>
      <c r="J26" s="2"/>
      <c r="K26" s="2">
        <v>2</v>
      </c>
      <c r="L26" s="2">
        <f t="shared" si="1"/>
        <v>6</v>
      </c>
      <c r="M26" s="2">
        <f t="shared" si="2"/>
        <v>3</v>
      </c>
      <c r="N26" s="4" t="s">
        <v>44</v>
      </c>
    </row>
    <row r="27" spans="1:14" x14ac:dyDescent="0.3">
      <c r="A27" s="2" t="s">
        <v>14</v>
      </c>
      <c r="B27" s="2">
        <v>32</v>
      </c>
      <c r="C27" s="2">
        <v>4</v>
      </c>
      <c r="D27" s="2">
        <v>1.5</v>
      </c>
      <c r="E27" s="2">
        <v>3</v>
      </c>
      <c r="F27" s="2"/>
      <c r="G27" s="2">
        <v>4</v>
      </c>
      <c r="H27" s="2">
        <f t="shared" si="0"/>
        <v>12.5</v>
      </c>
      <c r="I27" s="2"/>
      <c r="J27" s="2"/>
      <c r="K27" s="4">
        <v>3</v>
      </c>
      <c r="L27" s="2">
        <f t="shared" si="1"/>
        <v>3</v>
      </c>
      <c r="M27" s="2">
        <f t="shared" si="2"/>
        <v>16.5</v>
      </c>
      <c r="N27" s="3"/>
    </row>
    <row r="28" spans="1:14" x14ac:dyDescent="0.3">
      <c r="A28" s="2" t="s">
        <v>55</v>
      </c>
      <c r="B28" s="2">
        <v>13</v>
      </c>
      <c r="C28" s="2">
        <v>2</v>
      </c>
      <c r="D28" s="2">
        <v>2</v>
      </c>
      <c r="E28" s="2">
        <v>6</v>
      </c>
      <c r="F28" s="2"/>
      <c r="G28" s="2"/>
      <c r="H28" s="2">
        <f t="shared" si="0"/>
        <v>10</v>
      </c>
      <c r="I28" s="2"/>
      <c r="J28" s="2"/>
      <c r="K28" s="2"/>
      <c r="L28" s="2">
        <f t="shared" si="1"/>
        <v>0</v>
      </c>
      <c r="M28" s="2">
        <f t="shared" si="2"/>
        <v>3</v>
      </c>
      <c r="N28" s="2"/>
    </row>
    <row r="29" spans="1:14" x14ac:dyDescent="0.3">
      <c r="A29" s="2" t="s">
        <v>67</v>
      </c>
      <c r="B29" s="2">
        <v>14</v>
      </c>
      <c r="C29" s="2">
        <v>4</v>
      </c>
      <c r="D29" s="2">
        <v>1.5</v>
      </c>
      <c r="E29" s="2">
        <v>6.5</v>
      </c>
      <c r="F29" s="2"/>
      <c r="G29" s="2"/>
      <c r="H29" s="2">
        <f t="shared" si="0"/>
        <v>12</v>
      </c>
      <c r="I29" s="2"/>
      <c r="J29" s="2"/>
      <c r="K29" s="2"/>
      <c r="L29" s="2">
        <f t="shared" si="1"/>
        <v>0</v>
      </c>
      <c r="M29" s="2">
        <f t="shared" si="2"/>
        <v>2</v>
      </c>
      <c r="N29" s="2"/>
    </row>
    <row r="30" spans="1:14" x14ac:dyDescent="0.3">
      <c r="A30" s="2" t="s">
        <v>18</v>
      </c>
      <c r="B30" s="2">
        <v>32</v>
      </c>
      <c r="C30" s="2">
        <v>4</v>
      </c>
      <c r="D30" s="2">
        <v>2.5</v>
      </c>
      <c r="E30" s="2">
        <v>1</v>
      </c>
      <c r="F30" s="2">
        <v>1.5</v>
      </c>
      <c r="G30" s="2"/>
      <c r="H30" s="2">
        <f t="shared" si="0"/>
        <v>9</v>
      </c>
      <c r="I30" s="2">
        <v>4</v>
      </c>
      <c r="J30" s="2">
        <v>2</v>
      </c>
      <c r="K30" s="2">
        <v>12</v>
      </c>
      <c r="L30" s="2">
        <f t="shared" si="1"/>
        <v>18</v>
      </c>
      <c r="M30" s="2">
        <f t="shared" si="2"/>
        <v>5</v>
      </c>
      <c r="N30" s="5" t="s">
        <v>37</v>
      </c>
    </row>
    <row r="31" spans="1:14" ht="15" customHeight="1" x14ac:dyDescent="0.3">
      <c r="A31" s="2" t="s">
        <v>15</v>
      </c>
      <c r="B31" s="2">
        <v>20</v>
      </c>
      <c r="C31" s="2">
        <v>4</v>
      </c>
      <c r="D31" s="2">
        <v>1.5</v>
      </c>
      <c r="E31" s="2">
        <v>4</v>
      </c>
      <c r="F31" s="2">
        <v>1.5</v>
      </c>
      <c r="G31" s="2"/>
      <c r="H31" s="2">
        <f t="shared" si="0"/>
        <v>11</v>
      </c>
      <c r="I31" s="2">
        <v>6</v>
      </c>
      <c r="J31" s="2"/>
      <c r="K31" s="2"/>
      <c r="L31" s="2">
        <f t="shared" si="1"/>
        <v>6</v>
      </c>
      <c r="M31" s="2">
        <f t="shared" si="2"/>
        <v>3</v>
      </c>
      <c r="N31" s="2" t="s">
        <v>34</v>
      </c>
    </row>
    <row r="32" spans="1:14" x14ac:dyDescent="0.3">
      <c r="A32" s="2" t="s">
        <v>21</v>
      </c>
      <c r="B32" s="2">
        <v>32</v>
      </c>
      <c r="C32" s="2">
        <v>4</v>
      </c>
      <c r="D32" s="2">
        <v>2.5</v>
      </c>
      <c r="E32" s="2"/>
      <c r="F32" s="2">
        <v>3</v>
      </c>
      <c r="G32" s="2">
        <v>5</v>
      </c>
      <c r="H32" s="2">
        <f t="shared" si="0"/>
        <v>14.5</v>
      </c>
      <c r="I32" s="2">
        <v>4</v>
      </c>
      <c r="J32" s="2">
        <v>3</v>
      </c>
      <c r="K32" s="2">
        <v>5</v>
      </c>
      <c r="L32" s="2">
        <f t="shared" si="1"/>
        <v>12</v>
      </c>
      <c r="M32" s="2">
        <f t="shared" si="2"/>
        <v>5.5</v>
      </c>
      <c r="N32" s="2" t="s">
        <v>26</v>
      </c>
    </row>
    <row r="33" spans="1:14" x14ac:dyDescent="0.3">
      <c r="A33" s="2" t="s">
        <v>38</v>
      </c>
      <c r="B33" s="2">
        <v>25</v>
      </c>
      <c r="C33" s="2">
        <v>5.5</v>
      </c>
      <c r="D33" s="2">
        <v>1</v>
      </c>
      <c r="E33" s="2">
        <v>4</v>
      </c>
      <c r="F33" s="2"/>
      <c r="G33" s="2">
        <v>5</v>
      </c>
      <c r="H33" s="2">
        <f t="shared" si="0"/>
        <v>15.5</v>
      </c>
      <c r="I33" s="2"/>
      <c r="J33" s="2"/>
      <c r="K33" s="2">
        <v>4</v>
      </c>
      <c r="L33" s="2">
        <f t="shared" si="1"/>
        <v>4</v>
      </c>
      <c r="M33" s="2">
        <f t="shared" si="2"/>
        <v>5.5</v>
      </c>
      <c r="N33" s="2"/>
    </row>
    <row r="34" spans="1:14" x14ac:dyDescent="0.3">
      <c r="A34" s="2" t="s">
        <v>51</v>
      </c>
      <c r="B34" s="2">
        <v>40</v>
      </c>
      <c r="C34" s="2">
        <v>4</v>
      </c>
      <c r="D34" s="2">
        <v>2.5</v>
      </c>
      <c r="E34" s="2"/>
      <c r="F34" s="2">
        <v>4.5</v>
      </c>
      <c r="G34" s="2"/>
      <c r="H34" s="2">
        <f t="shared" si="0"/>
        <v>11</v>
      </c>
      <c r="I34" s="2">
        <v>4</v>
      </c>
      <c r="J34" s="2">
        <v>6</v>
      </c>
      <c r="K34" s="2">
        <v>11</v>
      </c>
      <c r="L34" s="2">
        <f t="shared" si="1"/>
        <v>21</v>
      </c>
      <c r="M34" s="2">
        <f t="shared" si="2"/>
        <v>8</v>
      </c>
      <c r="N34" s="2" t="s">
        <v>35</v>
      </c>
    </row>
    <row r="35" spans="1:14" x14ac:dyDescent="0.3">
      <c r="A35" s="2" t="s">
        <v>32</v>
      </c>
      <c r="B35" s="2">
        <v>33</v>
      </c>
      <c r="C35" s="2">
        <v>4</v>
      </c>
      <c r="D35" s="2">
        <v>2.5</v>
      </c>
      <c r="E35" s="2"/>
      <c r="F35" s="2">
        <v>3</v>
      </c>
      <c r="G35" s="2"/>
      <c r="H35" s="2">
        <f t="shared" si="0"/>
        <v>9.5</v>
      </c>
      <c r="I35" s="2">
        <v>4</v>
      </c>
      <c r="J35" s="2">
        <v>4</v>
      </c>
      <c r="K35" s="2">
        <v>10</v>
      </c>
      <c r="L35" s="2">
        <f t="shared" si="1"/>
        <v>18</v>
      </c>
      <c r="M35" s="2">
        <f t="shared" si="2"/>
        <v>5.5</v>
      </c>
      <c r="N35" s="5" t="s">
        <v>24</v>
      </c>
    </row>
    <row r="36" spans="1:14" x14ac:dyDescent="0.3">
      <c r="A36" s="2" t="s">
        <v>42</v>
      </c>
      <c r="B36" s="2">
        <v>12</v>
      </c>
      <c r="C36" s="2">
        <v>2</v>
      </c>
      <c r="D36" s="2">
        <v>1</v>
      </c>
      <c r="E36" s="2"/>
      <c r="F36" s="2"/>
      <c r="G36" s="2"/>
      <c r="H36" s="2">
        <f t="shared" si="0"/>
        <v>3</v>
      </c>
      <c r="I36" s="2">
        <v>4</v>
      </c>
      <c r="J36" s="2"/>
      <c r="K36" s="2">
        <v>2</v>
      </c>
      <c r="L36" s="2">
        <f t="shared" si="1"/>
        <v>6</v>
      </c>
      <c r="M36" s="2">
        <f t="shared" si="2"/>
        <v>3</v>
      </c>
      <c r="N36" s="4" t="s">
        <v>82</v>
      </c>
    </row>
    <row r="37" spans="1:14" x14ac:dyDescent="0.3">
      <c r="A37" s="2" t="s">
        <v>62</v>
      </c>
      <c r="B37" s="2">
        <v>40</v>
      </c>
      <c r="C37" s="2">
        <v>4</v>
      </c>
      <c r="D37" s="2">
        <v>3</v>
      </c>
      <c r="E37" s="2"/>
      <c r="F37" s="2">
        <v>3</v>
      </c>
      <c r="G37" s="2"/>
      <c r="H37" s="2">
        <f t="shared" si="0"/>
        <v>10</v>
      </c>
      <c r="I37" s="2">
        <v>8</v>
      </c>
      <c r="J37" s="2">
        <v>9</v>
      </c>
      <c r="K37" s="2">
        <v>6</v>
      </c>
      <c r="L37" s="2">
        <f t="shared" si="1"/>
        <v>23</v>
      </c>
      <c r="M37" s="2">
        <f t="shared" si="2"/>
        <v>7</v>
      </c>
      <c r="N37" s="5" t="s">
        <v>72</v>
      </c>
    </row>
    <row r="38" spans="1:14" x14ac:dyDescent="0.3">
      <c r="A38" s="2" t="s">
        <v>53</v>
      </c>
      <c r="B38" s="2">
        <v>20</v>
      </c>
      <c r="C38" s="2">
        <v>4</v>
      </c>
      <c r="D38" s="2">
        <v>2.5</v>
      </c>
      <c r="E38" s="2"/>
      <c r="F38" s="2">
        <v>3</v>
      </c>
      <c r="G38" s="2"/>
      <c r="H38" s="2">
        <f t="shared" si="0"/>
        <v>9.5</v>
      </c>
      <c r="I38" s="2">
        <v>5</v>
      </c>
      <c r="J38" s="2">
        <v>2</v>
      </c>
      <c r="K38" s="2"/>
      <c r="L38" s="2">
        <f t="shared" si="1"/>
        <v>7</v>
      </c>
      <c r="M38" s="2">
        <f t="shared" si="2"/>
        <v>3.5</v>
      </c>
      <c r="N38" s="2" t="s">
        <v>57</v>
      </c>
    </row>
    <row r="39" spans="1:14" x14ac:dyDescent="0.3">
      <c r="A39" s="2" t="s">
        <v>50</v>
      </c>
      <c r="B39" s="2">
        <v>20</v>
      </c>
      <c r="C39" s="2">
        <v>4</v>
      </c>
      <c r="D39" s="2">
        <v>2.5</v>
      </c>
      <c r="E39" s="2"/>
      <c r="F39" s="2">
        <v>1.5</v>
      </c>
      <c r="G39" s="2"/>
      <c r="H39" s="2">
        <f t="shared" si="0"/>
        <v>8</v>
      </c>
      <c r="I39" s="2">
        <v>4</v>
      </c>
      <c r="J39" s="2">
        <v>5</v>
      </c>
      <c r="K39" s="2"/>
      <c r="L39" s="2">
        <f t="shared" si="1"/>
        <v>9</v>
      </c>
      <c r="M39" s="2">
        <f t="shared" si="2"/>
        <v>3</v>
      </c>
      <c r="N39" s="2" t="s">
        <v>71</v>
      </c>
    </row>
    <row r="40" spans="1:14" x14ac:dyDescent="0.3">
      <c r="A40" s="8" t="s">
        <v>69</v>
      </c>
      <c r="B40" s="8">
        <v>32</v>
      </c>
      <c r="C40" s="8">
        <v>4</v>
      </c>
      <c r="D40" s="8">
        <v>3.5</v>
      </c>
      <c r="E40" s="8"/>
      <c r="F40" s="8">
        <v>1.5</v>
      </c>
      <c r="G40" s="8"/>
      <c r="H40" s="8">
        <f t="shared" si="0"/>
        <v>9</v>
      </c>
      <c r="I40" s="8">
        <v>4</v>
      </c>
      <c r="J40" s="8">
        <v>7</v>
      </c>
      <c r="K40" s="8">
        <v>5</v>
      </c>
      <c r="L40" s="8">
        <f t="shared" si="1"/>
        <v>16</v>
      </c>
      <c r="M40" s="8">
        <f t="shared" si="2"/>
        <v>7</v>
      </c>
      <c r="N40" s="8"/>
    </row>
    <row r="41" spans="1:14" x14ac:dyDescent="0.3">
      <c r="A41" s="2" t="s">
        <v>65</v>
      </c>
      <c r="B41" s="2">
        <v>16</v>
      </c>
      <c r="C41" s="2">
        <v>2</v>
      </c>
      <c r="D41" s="2">
        <v>1</v>
      </c>
      <c r="E41" s="2"/>
      <c r="F41" s="2"/>
      <c r="G41" s="2"/>
      <c r="H41" s="2">
        <f t="shared" si="0"/>
        <v>3</v>
      </c>
      <c r="I41" s="2">
        <v>6</v>
      </c>
      <c r="J41" s="2"/>
      <c r="K41" s="2">
        <v>2</v>
      </c>
      <c r="L41" s="2">
        <f t="shared" si="1"/>
        <v>8</v>
      </c>
      <c r="M41" s="2">
        <f t="shared" si="2"/>
        <v>5</v>
      </c>
      <c r="N41" s="2" t="s">
        <v>28</v>
      </c>
    </row>
    <row r="42" spans="1:14" x14ac:dyDescent="0.3">
      <c r="A42" s="2" t="s">
        <v>16</v>
      </c>
      <c r="B42" s="2">
        <v>24</v>
      </c>
      <c r="C42" s="2">
        <v>4</v>
      </c>
      <c r="D42" s="2">
        <v>1.5</v>
      </c>
      <c r="E42" s="2">
        <v>5</v>
      </c>
      <c r="F42" s="2">
        <v>1.5</v>
      </c>
      <c r="G42" s="2"/>
      <c r="H42" s="2">
        <f t="shared" si="0"/>
        <v>12</v>
      </c>
      <c r="I42" s="2">
        <v>2</v>
      </c>
      <c r="J42" s="2"/>
      <c r="K42" s="2"/>
      <c r="L42" s="2">
        <f t="shared" si="1"/>
        <v>2</v>
      </c>
      <c r="M42" s="2">
        <f t="shared" si="2"/>
        <v>10</v>
      </c>
      <c r="N42" s="4" t="s">
        <v>88</v>
      </c>
    </row>
    <row r="43" spans="1:14" x14ac:dyDescent="0.3">
      <c r="A43" s="2" t="s">
        <v>85</v>
      </c>
      <c r="B43" s="2">
        <v>20</v>
      </c>
      <c r="C43" s="2">
        <v>4</v>
      </c>
      <c r="D43" s="2">
        <v>5</v>
      </c>
      <c r="E43" s="4">
        <v>4</v>
      </c>
      <c r="F43" s="2"/>
      <c r="G43" s="2"/>
      <c r="H43" s="2">
        <f t="shared" ref="H43" si="3">SUM(C43:G43)</f>
        <v>13</v>
      </c>
      <c r="I43" s="2">
        <v>4</v>
      </c>
      <c r="J43" s="2"/>
      <c r="K43" s="2"/>
      <c r="L43" s="2">
        <f t="shared" ref="L43" si="4">SUM(I43:K43)</f>
        <v>4</v>
      </c>
      <c r="M43" s="2">
        <f t="shared" ref="M43" si="5">B43-(SUM(H43+L43))</f>
        <v>3</v>
      </c>
      <c r="N43" s="2"/>
    </row>
    <row r="44" spans="1:14" x14ac:dyDescent="0.3">
      <c r="A44" s="2" t="s">
        <v>86</v>
      </c>
      <c r="B44" s="2">
        <v>12</v>
      </c>
      <c r="C44" s="2">
        <v>2</v>
      </c>
      <c r="D44" s="2">
        <v>2</v>
      </c>
      <c r="E44" s="2"/>
      <c r="F44" s="2"/>
      <c r="G44" s="2"/>
      <c r="H44" s="2">
        <f t="shared" ref="H44" si="6">SUM(C44:G44)</f>
        <v>4</v>
      </c>
      <c r="I44" s="2"/>
      <c r="J44" s="2"/>
      <c r="K44" s="2">
        <v>6</v>
      </c>
      <c r="L44" s="2">
        <f t="shared" ref="L44" si="7">SUM(I44:K44)</f>
        <v>6</v>
      </c>
      <c r="M44" s="2">
        <f t="shared" ref="M44" si="8">B44-(SUM(H44+L44))</f>
        <v>2</v>
      </c>
      <c r="N44" s="2"/>
    </row>
    <row r="45" spans="1:14" x14ac:dyDescent="0.3">
      <c r="A45" s="2" t="s">
        <v>87</v>
      </c>
      <c r="B45" s="2">
        <v>32</v>
      </c>
      <c r="C45" s="2">
        <v>4</v>
      </c>
      <c r="D45" s="2">
        <v>3.5</v>
      </c>
      <c r="E45" s="2"/>
      <c r="F45" s="2">
        <v>1.5</v>
      </c>
      <c r="G45" s="2"/>
      <c r="H45" s="2">
        <f t="shared" ref="H45" si="9">SUM(C45:G45)</f>
        <v>9</v>
      </c>
      <c r="I45" s="2">
        <v>4</v>
      </c>
      <c r="J45" s="2"/>
      <c r="K45" s="2">
        <v>13</v>
      </c>
      <c r="L45" s="2">
        <f t="shared" ref="L45" si="10">SUM(I45:K45)</f>
        <v>17</v>
      </c>
      <c r="M45" s="2">
        <f t="shared" ref="M45" si="11">B45-(SUM(H45+L45))</f>
        <v>6</v>
      </c>
      <c r="N45" s="2"/>
    </row>
    <row r="47" spans="1:14" x14ac:dyDescent="0.3">
      <c r="K47">
        <f>SUM(K1:K46)</f>
        <v>149</v>
      </c>
    </row>
  </sheetData>
  <sortState xmlns:xlrd2="http://schemas.microsoft.com/office/spreadsheetml/2017/richdata2" ref="A2:N47">
    <sortCondition ref="A1:A47"/>
  </sortState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כללי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אורי וייס</dc:creator>
  <cp:lastModifiedBy>אורי וייס</cp:lastModifiedBy>
  <cp:lastPrinted>2025-07-16T09:52:11Z</cp:lastPrinted>
  <dcterms:created xsi:type="dcterms:W3CDTF">2019-08-05T07:56:31Z</dcterms:created>
  <dcterms:modified xsi:type="dcterms:W3CDTF">2026-06-04T13:46:04Z</dcterms:modified>
</cp:coreProperties>
</file>